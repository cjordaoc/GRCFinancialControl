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ites.ey.com/teams/HUB_RiskTransformation_GRC/Managers/02. Modelo Operacional/"/>
    </mc:Choice>
  </mc:AlternateContent>
  <xr:revisionPtr revIDLastSave="749" documentId="11_F25DC773A252ABDACC1048AED95D5DA25BDE58F1" xr6:coauthVersionLast="47" xr6:coauthVersionMax="47" xr10:uidLastSave="{FF2C9909-F7B6-410F-B466-73B0ECDF3DC9}"/>
  <bookViews>
    <workbookView xWindow="-108" yWindow="-108" windowWidth="23256" windowHeight="12456" activeTab="1" xr2:uid="{00000000-000D-0000-FFFF-FFFF00000000}"/>
  </bookViews>
  <sheets>
    <sheet name="Engagements" sheetId="1" r:id="rId1"/>
    <sheet name="Oportunidades" sheetId="2" r:id="rId2"/>
    <sheet name="TER x TN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3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2" i="2"/>
  <c r="M2" i="1"/>
  <c r="M6" i="1"/>
  <c r="M5" i="1"/>
  <c r="M4" i="1"/>
  <c r="N7" i="1"/>
</calcChain>
</file>

<file path=xl/sharedStrings.xml><?xml version="1.0" encoding="utf-8"?>
<sst xmlns="http://schemas.openxmlformats.org/spreadsheetml/2006/main" count="208" uniqueCount="107">
  <si>
    <t>EP</t>
  </si>
  <si>
    <t>Tem outra SL envolvida?</t>
  </si>
  <si>
    <t>Ultra</t>
  </si>
  <si>
    <t>CTC</t>
  </si>
  <si>
    <t>CSN</t>
  </si>
  <si>
    <t>Caixa Vida e Previdencia</t>
  </si>
  <si>
    <t>Opp ID</t>
  </si>
  <si>
    <t>Opportunity Name</t>
  </si>
  <si>
    <t>Client</t>
  </si>
  <si>
    <t>Valor</t>
  </si>
  <si>
    <t>GRC CNS [SRT] Matriz SoD e Redesenho de Perfis</t>
  </si>
  <si>
    <t>Gás Natural Açu S/A</t>
  </si>
  <si>
    <t>GRC CNS [SRT] Perfis e SoD</t>
  </si>
  <si>
    <t>COPA ENERGIA S.A.</t>
  </si>
  <si>
    <t>GRC CNS [SRT] Matriz SOD e Assessment Acessos SAP</t>
  </si>
  <si>
    <t>Telefonica Brasil S/A</t>
  </si>
  <si>
    <t>GRC CNS [SRT] Avaliação de Licenças SAP</t>
  </si>
  <si>
    <t>INTELBRAS S.A. INDUSTRIA DE TELECOMUNICACAO ELETRONICA BRASILEIRA</t>
  </si>
  <si>
    <t>GRC CNS [SRT] Recertificação Acessos</t>
  </si>
  <si>
    <t>IRB Brasil Resseguros S/A.</t>
  </si>
  <si>
    <t>GRC CNS [SRT] Suporte Recertificação de Acessos</t>
  </si>
  <si>
    <t>Honda Automóveis do Brasil Ltda</t>
  </si>
  <si>
    <t>GRC CNS [SRT] Matrizes SOD EDP PT</t>
  </si>
  <si>
    <t>EDP S.A.</t>
  </si>
  <si>
    <t>GRC CNS [FS] BV - Assessment Governança SOD</t>
  </si>
  <si>
    <t>Banco Votorantim S/A</t>
  </si>
  <si>
    <t>GRC CNS [FS] Desenho dos perfis de acesso - Legados</t>
  </si>
  <si>
    <t>TER FY26</t>
  </si>
  <si>
    <t>TER FY27</t>
  </si>
  <si>
    <t>~Horas</t>
  </si>
  <si>
    <t>Migração SAP ECC para SAP S4HANA (Shell Conversion)</t>
  </si>
  <si>
    <t>Hosppital Albert Einsten</t>
  </si>
  <si>
    <t>CTC - SAP S4HANA Greenfield</t>
  </si>
  <si>
    <t>Migração Brownfield SAP S4HANA</t>
  </si>
  <si>
    <t>ULTRA Implementacao S4HANA</t>
  </si>
  <si>
    <t>-</t>
  </si>
  <si>
    <t>Status</t>
  </si>
  <si>
    <t>Picpay</t>
  </si>
  <si>
    <t>26/09 - Enviamos um ball park com estimativa para 3 novos sistemas. Se caminhar, iremos criar uma add sales no Mercury</t>
  </si>
  <si>
    <t>S</t>
  </si>
  <si>
    <t>Declined</t>
  </si>
  <si>
    <t>Chegou pela Denise Giffoni e Carolina Rocha. Honda esta avaliando renovar um contrato que tinha com a EY</t>
  </si>
  <si>
    <t>30/09 - Declinado. Oportunidade aberta desde Julho e o cliente não avancou com o tema. Caso retorne criamos novamente a opp</t>
  </si>
  <si>
    <t>Diversas reuniões com EDP PT e EY PT para reavaliar escopo e encontrar formas de baixar preco. Preparei varios cenarios de 1 a 8 sistemas e precificando a politica de forma separada e enviamos. Budget reduziu para 20 - 30 mil eurose se for pra frente ainda esse ano deve ser somente um sistema piloto</t>
  </si>
  <si>
    <t>Karina Reis</t>
  </si>
  <si>
    <t>29/09 - Reuniao de apresentacao de abordagens</t>
  </si>
  <si>
    <t>GRC CNS [FS] Governança, Matriz SoD e Diagnóstico</t>
  </si>
  <si>
    <t>N</t>
  </si>
  <si>
    <t>Criar no CRM</t>
  </si>
  <si>
    <t>02/09 - Email enviado a suprimentos e área técnica para saber o andamento da RFP. Eles responderam que o processo continua aberto em análises internas</t>
  </si>
  <si>
    <t xml:space="preserve">Reuniões realizadas com Jaqueline (Controller) + Ana (GS Contabil) + Isabel (Gestao Acessos). Gostaram da abordagem e mandamos a proposta tecnica </t>
  </si>
  <si>
    <t>Pursue</t>
  </si>
  <si>
    <t>Identify</t>
  </si>
  <si>
    <t>Qualify</t>
  </si>
  <si>
    <t>GRC CNS [SRT] LS Perfis S/4H e GRC AC</t>
  </si>
  <si>
    <t>LINDT &amp; SPRUNGLI (BRAZIL) COMERCIO DE ALIMENTOS LTDA</t>
  </si>
  <si>
    <t>Declinado em setembro. Cliente nao vai prosseguir com essa demanda visto que o volume de chamados é pequeno e estao fazendo internamente</t>
  </si>
  <si>
    <t xml:space="preserve"> </t>
  </si>
  <si>
    <t>Última atualização</t>
  </si>
  <si>
    <t>Atualizações</t>
  </si>
  <si>
    <t>Comentários</t>
  </si>
  <si>
    <t>Gerente envolvido</t>
  </si>
  <si>
    <t>Picpay - Additional sales (+ 3 sistemas)</t>
  </si>
  <si>
    <t>n</t>
  </si>
  <si>
    <t>Status
Fórmula</t>
  </si>
  <si>
    <t>E-68543849</t>
  </si>
  <si>
    <t>E-69355617</t>
  </si>
  <si>
    <t>E-68462036</t>
  </si>
  <si>
    <t>E-69067946</t>
  </si>
  <si>
    <t>E-68964575</t>
  </si>
  <si>
    <t>E-69021269</t>
  </si>
  <si>
    <t>E-68611841</t>
  </si>
  <si>
    <t>NEO - Suporte Perfis e SAP GRC-AC</t>
  </si>
  <si>
    <t>Picpay - Matriz SoD - Legados</t>
  </si>
  <si>
    <t>Operação Perfis de Acesso &amp; GRC</t>
  </si>
  <si>
    <t>EDP - Ações Assessment S4</t>
  </si>
  <si>
    <t>EDP Matriz e Diagnóstico SOD SCIRF</t>
  </si>
  <si>
    <t>Ache - Implementacao S/4HANA</t>
  </si>
  <si>
    <t>White Martins Gases Indus - WM - SAP AMS</t>
  </si>
  <si>
    <t>Margem Inicial %</t>
  </si>
  <si>
    <t>Margem 
Atual %</t>
  </si>
  <si>
    <t>TER FYTD</t>
  </si>
  <si>
    <t>FYTG Backlog</t>
  </si>
  <si>
    <t>Future Backlog</t>
  </si>
  <si>
    <t>Nome Projeto</t>
  </si>
  <si>
    <t>Projeto ID</t>
  </si>
  <si>
    <t>Cliente</t>
  </si>
  <si>
    <t>Neoenergia</t>
  </si>
  <si>
    <t>Bunge</t>
  </si>
  <si>
    <t>EDP</t>
  </si>
  <si>
    <t>Aché</t>
  </si>
  <si>
    <t>White Martins</t>
  </si>
  <si>
    <t>FY26</t>
  </si>
  <si>
    <t>Total Engagement (Último ETC)</t>
  </si>
  <si>
    <t>FSP</t>
  </si>
  <si>
    <t>FSP/ AJP</t>
  </si>
  <si>
    <t xml:space="preserve">08/08 - Envio das propostas atualizadas para Sabrina de suprimentos
25/08 - FUP para saber do andamento da RFP </t>
  </si>
  <si>
    <t>Jose R Rocha envolvido</t>
  </si>
  <si>
    <t>João Herculano (FSO) envolvido</t>
  </si>
  <si>
    <t>Fernanda Daré (Gerente Senior Gestao de Identidades).
João Herculano (FSO) envolvido</t>
  </si>
  <si>
    <t>CC</t>
  </si>
  <si>
    <t>SB</t>
  </si>
  <si>
    <t>GC</t>
  </si>
  <si>
    <t>CC / GC</t>
  </si>
  <si>
    <t>FSP/ AJP / DLP</t>
  </si>
  <si>
    <t>MG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</si>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</sst>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_-;\-&quot;R$&quot;\ * #,##0_-;_-&quot;R$&quot;\ * &quot;-&quot;_-;_-@_-"/>
    <numFmt numFmtId="165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C000"/>
      <name val="Webdings"/>
      <family val="1"/>
      <charset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left"/>
    </xf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9" fontId="3" fillId="3" borderId="1" xfId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gem" xfId="1" builtinId="5"/>
  </cellStyles>
  <dxfs count="3">
    <dxf>
      <font>
        <color theme="9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46991</xdr:colOff>
      <xdr:row>0</xdr:row>
      <xdr:rowOff>146050</xdr:rowOff>
    </xdr:from>
    <xdr:to>
      <xdr:col>14</xdr:col>
      <xdr:colOff>464821</xdr:colOff>
      <xdr:row>24</xdr:row>
      <xdr:rowOff>31673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B504CF-26BB-4296-B01B-730B092D7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1" y="146050"/>
          <a:ext cx="8952230" cy="4274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showGridLines="0" workbookViewId="0"/>
  </sheetViews>
  <sheetFormatPr defaultRowHeight="14.4" x14ac:dyDescent="0.3"/>
  <cols>
    <col min="1" max="1" width="13.5546875" bestFit="1" customWidth="1"/>
    <col min="2" max="2" width="37.77734375" bestFit="1" customWidth="1"/>
    <col min="3" max="3" width="12.77734375" bestFit="1" customWidth="1"/>
    <col min="4" max="4" width="5.44140625" customWidth="1"/>
    <col min="5" max="5" width="18.77734375" customWidth="1"/>
    <col min="6" max="6" width="18.44140625" style="1" customWidth="1"/>
    <col min="7" max="8" width="11.33203125" style="1" customWidth="1"/>
    <col min="9" max="12" width="16.21875" style="1" customWidth="1"/>
    <col min="13" max="14" width="13.109375" style="1" customWidth="1"/>
    <col min="15" max="15" width="12.109375" customWidth="1"/>
    <col min="16" max="16" width="8.77734375" style="1"/>
  </cols>
  <sheetData>
    <row r="1" spans="1:15" ht="29.4" thickBot="1" x14ac:dyDescent="0.35">
      <c r="A1" s="6" t="s">
        <v>85</v>
      </c>
      <c r="B1" s="6" t="s">
        <v>84</v>
      </c>
      <c r="C1" s="6" t="s">
        <v>86</v>
      </c>
      <c r="D1" s="7" t="s">
        <v>0</v>
      </c>
      <c r="E1" s="7" t="s">
        <v>61</v>
      </c>
      <c r="F1" s="7" t="s">
        <v>93</v>
      </c>
      <c r="G1" s="7" t="s">
        <v>79</v>
      </c>
      <c r="H1" s="7" t="s">
        <v>80</v>
      </c>
      <c r="I1" s="7" t="s">
        <v>81</v>
      </c>
      <c r="J1" s="7" t="s">
        <v>82</v>
      </c>
      <c r="K1" s="7" t="s">
        <v>92</v>
      </c>
      <c r="L1" s="7" t="s">
        <v>83</v>
      </c>
      <c r="M1" s="15" t="s">
        <v>27</v>
      </c>
      <c r="N1" s="15" t="s">
        <v>28</v>
      </c>
      <c r="O1" s="7" t="s">
        <v>1</v>
      </c>
    </row>
    <row r="2" spans="1:15" ht="15" thickBot="1" x14ac:dyDescent="0.35">
      <c r="A2" s="4" t="s">
        <v>65</v>
      </c>
      <c r="B2" s="4" t="s">
        <v>72</v>
      </c>
      <c r="C2" s="4" t="s">
        <v>87</v>
      </c>
      <c r="D2" s="4" t="s">
        <v>94</v>
      </c>
      <c r="E2" s="4" t="s">
        <v>101</v>
      </c>
      <c r="F2" s="5">
        <v>2089355</v>
      </c>
      <c r="G2" s="8">
        <v>0.37</v>
      </c>
      <c r="H2" s="8">
        <v>0.37</v>
      </c>
      <c r="I2" s="14">
        <v>0</v>
      </c>
      <c r="J2" s="14">
        <v>0</v>
      </c>
      <c r="K2" s="14">
        <f t="shared" ref="K2:K8" si="0">I2+J2</f>
        <v>0</v>
      </c>
      <c r="L2" s="14">
        <v>0</v>
      </c>
      <c r="M2" s="5">
        <f>164460+952028</f>
        <v>1116488</v>
      </c>
      <c r="N2" s="5">
        <v>0</v>
      </c>
      <c r="O2" s="17" t="s">
        <v>47</v>
      </c>
    </row>
    <row r="3" spans="1:15" ht="15" thickBot="1" x14ac:dyDescent="0.35">
      <c r="A3" s="4" t="s">
        <v>66</v>
      </c>
      <c r="B3" s="4" t="s">
        <v>73</v>
      </c>
      <c r="C3" s="4" t="s">
        <v>37</v>
      </c>
      <c r="D3" s="4" t="s">
        <v>94</v>
      </c>
      <c r="E3" s="4" t="s">
        <v>101</v>
      </c>
      <c r="F3" s="5">
        <v>787000</v>
      </c>
      <c r="G3" s="8">
        <v>0.45</v>
      </c>
      <c r="H3" s="8">
        <v>0.45</v>
      </c>
      <c r="I3" s="14">
        <v>0</v>
      </c>
      <c r="J3" s="14">
        <v>0</v>
      </c>
      <c r="K3" s="14">
        <f t="shared" si="0"/>
        <v>0</v>
      </c>
      <c r="L3" s="14">
        <v>0</v>
      </c>
      <c r="M3" s="5">
        <v>787000</v>
      </c>
      <c r="N3" s="5">
        <v>0</v>
      </c>
      <c r="O3" s="17" t="s">
        <v>47</v>
      </c>
    </row>
    <row r="4" spans="1:15" ht="15" thickBot="1" x14ac:dyDescent="0.35">
      <c r="A4" s="4" t="s">
        <v>67</v>
      </c>
      <c r="B4" s="4" t="s">
        <v>74</v>
      </c>
      <c r="C4" s="4" t="s">
        <v>88</v>
      </c>
      <c r="D4" s="4" t="s">
        <v>94</v>
      </c>
      <c r="E4" s="4" t="s">
        <v>102</v>
      </c>
      <c r="F4" s="5">
        <v>816635</v>
      </c>
      <c r="G4" s="8">
        <v>0.45</v>
      </c>
      <c r="H4" s="8">
        <v>0.45</v>
      </c>
      <c r="I4" s="14">
        <v>0</v>
      </c>
      <c r="J4" s="14">
        <v>0</v>
      </c>
      <c r="K4" s="14">
        <f t="shared" si="0"/>
        <v>0</v>
      </c>
      <c r="L4" s="14">
        <v>0</v>
      </c>
      <c r="M4" s="5">
        <f>57520+232463</f>
        <v>289983</v>
      </c>
      <c r="N4" s="5">
        <v>0</v>
      </c>
      <c r="O4" s="17" t="s">
        <v>47</v>
      </c>
    </row>
    <row r="5" spans="1:15" ht="15" thickBot="1" x14ac:dyDescent="0.35">
      <c r="A5" s="4" t="s">
        <v>68</v>
      </c>
      <c r="B5" s="4" t="s">
        <v>75</v>
      </c>
      <c r="C5" s="4" t="s">
        <v>89</v>
      </c>
      <c r="D5" s="4" t="s">
        <v>94</v>
      </c>
      <c r="E5" s="4" t="s">
        <v>100</v>
      </c>
      <c r="F5" s="5">
        <v>273761</v>
      </c>
      <c r="G5" s="8">
        <v>0.45</v>
      </c>
      <c r="H5" s="8">
        <v>0.45</v>
      </c>
      <c r="I5" s="14">
        <v>0</v>
      </c>
      <c r="J5" s="14">
        <v>0</v>
      </c>
      <c r="K5" s="14">
        <f t="shared" si="0"/>
        <v>0</v>
      </c>
      <c r="L5" s="14">
        <v>0</v>
      </c>
      <c r="M5" s="5">
        <f>103537+20358</f>
        <v>123895</v>
      </c>
      <c r="N5" s="5">
        <v>0</v>
      </c>
      <c r="O5" s="17" t="s">
        <v>47</v>
      </c>
    </row>
    <row r="6" spans="1:15" ht="15" thickBot="1" x14ac:dyDescent="0.35">
      <c r="A6" s="4" t="s">
        <v>69</v>
      </c>
      <c r="B6" s="4" t="s">
        <v>76</v>
      </c>
      <c r="C6" s="4" t="s">
        <v>89</v>
      </c>
      <c r="D6" s="4" t="s">
        <v>94</v>
      </c>
      <c r="E6" s="4" t="s">
        <v>105</v>
      </c>
      <c r="F6" s="5">
        <v>452482</v>
      </c>
      <c r="G6" s="8">
        <v>0.45</v>
      </c>
      <c r="H6" s="8">
        <v>0.45</v>
      </c>
      <c r="I6" s="14">
        <v>0</v>
      </c>
      <c r="J6" s="14">
        <v>0</v>
      </c>
      <c r="K6" s="14">
        <f t="shared" si="0"/>
        <v>0</v>
      </c>
      <c r="L6" s="14">
        <v>0</v>
      </c>
      <c r="M6" s="5">
        <f>121716+68782</f>
        <v>190498</v>
      </c>
      <c r="N6" s="5">
        <v>0</v>
      </c>
      <c r="O6" s="17" t="s">
        <v>47</v>
      </c>
    </row>
    <row r="7" spans="1:15" ht="15" thickBot="1" x14ac:dyDescent="0.35">
      <c r="A7" s="4" t="s">
        <v>70</v>
      </c>
      <c r="B7" s="4" t="s">
        <v>77</v>
      </c>
      <c r="C7" s="4" t="s">
        <v>90</v>
      </c>
      <c r="D7" s="4" t="s">
        <v>94</v>
      </c>
      <c r="E7" s="4" t="s">
        <v>101</v>
      </c>
      <c r="F7" s="5">
        <v>2350000</v>
      </c>
      <c r="G7" s="8">
        <v>0.3</v>
      </c>
      <c r="H7" s="8">
        <v>0.3</v>
      </c>
      <c r="I7" s="14">
        <v>0</v>
      </c>
      <c r="J7" s="14">
        <v>0</v>
      </c>
      <c r="K7" s="14">
        <f t="shared" si="0"/>
        <v>0</v>
      </c>
      <c r="L7" s="14">
        <v>0</v>
      </c>
      <c r="M7" s="5">
        <v>750000</v>
      </c>
      <c r="N7" s="5">
        <f>2350000-M7</f>
        <v>1600000</v>
      </c>
      <c r="O7" s="17" t="s">
        <v>39</v>
      </c>
    </row>
    <row r="8" spans="1:15" ht="15" thickBot="1" x14ac:dyDescent="0.35">
      <c r="A8" s="4" t="s">
        <v>71</v>
      </c>
      <c r="B8" s="4" t="s">
        <v>78</v>
      </c>
      <c r="C8" s="4" t="s">
        <v>91</v>
      </c>
      <c r="D8" s="4" t="s">
        <v>94</v>
      </c>
      <c r="E8" s="4" t="s">
        <v>106</v>
      </c>
      <c r="F8" s="5" t="s">
        <v>35</v>
      </c>
      <c r="G8" s="8">
        <v>0.3</v>
      </c>
      <c r="H8" s="8">
        <v>0.3</v>
      </c>
      <c r="I8" s="14">
        <v>0</v>
      </c>
      <c r="J8" s="14">
        <v>0</v>
      </c>
      <c r="K8" s="14">
        <f t="shared" si="0"/>
        <v>0</v>
      </c>
      <c r="L8" s="14">
        <v>0</v>
      </c>
      <c r="M8" s="5">
        <v>1100000</v>
      </c>
      <c r="N8" s="5">
        <v>0</v>
      </c>
      <c r="O8" s="17" t="s">
        <v>39</v>
      </c>
    </row>
    <row r="9" spans="1:15" ht="15" thickBot="1" x14ac:dyDescent="0.35">
      <c r="M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F87C-40A7-4C97-B004-531A4CCBE591}">
  <dimension ref="A1:P17"/>
  <sheetViews>
    <sheetView showGridLines="0" tabSelected="1" workbookViewId="0">
      <selection activeCell="A2" sqref="A2"/>
    </sheetView>
  </sheetViews>
  <sheetFormatPr defaultColWidth="8.77734375" defaultRowHeight="14.4" x14ac:dyDescent="0.3"/>
  <cols>
    <col min="1" max="1" width="12.77734375" style="2" customWidth="1"/>
    <col min="2" max="2" width="47.88671875" style="2" customWidth="1"/>
    <col min="3" max="3" width="34.33203125" style="2" customWidth="1"/>
    <col min="4" max="4" width="14.77734375" style="2" customWidth="1"/>
    <col min="5" max="6" width="15.33203125" style="2" customWidth="1"/>
    <col min="7" max="7" width="8.88671875" style="22" customWidth="1"/>
    <col min="8" max="8" width="9.44140625" style="2" customWidth="1"/>
    <col min="9" max="10" width="12.21875" style="22" customWidth="1"/>
    <col min="11" max="11" width="12.21875" style="22" hidden="1" customWidth="1"/>
    <col min="12" max="12" width="12.21875" style="22" customWidth="1"/>
    <col min="13" max="13" width="49.33203125" style="2" customWidth="1"/>
    <col min="14" max="14" width="40.77734375" style="3" customWidth="1"/>
    <col min="15" max="16" width="10.77734375" style="2" customWidth="1"/>
    <col min="17" max="16384" width="8.77734375" style="2"/>
  </cols>
  <sheetData>
    <row r="1" spans="1:16" s="11" customFormat="1" ht="31.8" customHeight="1" thickBot="1" x14ac:dyDescent="0.35">
      <c r="A1" s="7" t="s">
        <v>6</v>
      </c>
      <c r="B1" s="7" t="s">
        <v>7</v>
      </c>
      <c r="C1" s="7" t="s">
        <v>8</v>
      </c>
      <c r="D1" s="7" t="s">
        <v>9</v>
      </c>
      <c r="E1" s="7" t="s">
        <v>0</v>
      </c>
      <c r="F1" s="7" t="s">
        <v>61</v>
      </c>
      <c r="G1" s="7" t="s">
        <v>29</v>
      </c>
      <c r="H1" s="7" t="s">
        <v>36</v>
      </c>
      <c r="I1" s="7" t="s">
        <v>1</v>
      </c>
      <c r="J1" s="7" t="s">
        <v>58</v>
      </c>
      <c r="K1" s="7" t="s">
        <v>64</v>
      </c>
      <c r="L1" s="12" t="s">
        <v>36</v>
      </c>
      <c r="M1" s="7" t="s">
        <v>59</v>
      </c>
      <c r="N1" s="7" t="s">
        <v>60</v>
      </c>
      <c r="O1" s="10"/>
      <c r="P1" s="10"/>
    </row>
    <row r="2" spans="1:16" ht="43.8" thickBot="1" x14ac:dyDescent="0.35">
      <c r="A2" s="4">
        <v>5542996</v>
      </c>
      <c r="B2" s="4" t="s">
        <v>46</v>
      </c>
      <c r="C2" s="4" t="s">
        <v>5</v>
      </c>
      <c r="D2" s="16">
        <v>520000</v>
      </c>
      <c r="E2" s="4" t="s">
        <v>94</v>
      </c>
      <c r="F2" s="4" t="s">
        <v>100</v>
      </c>
      <c r="G2" s="17"/>
      <c r="H2" s="4" t="s">
        <v>51</v>
      </c>
      <c r="I2" s="17" t="s">
        <v>47</v>
      </c>
      <c r="J2" s="18">
        <v>45929</v>
      </c>
      <c r="K2" s="19" t="str">
        <f t="shared" ref="K2:K17" ca="1" si="0">IF(ISBLANK(J2), "", IF(TODAY() - J2 &gt; 15, "atrasado", IF(TODAY() - J2 &gt; 7, "atenção", "em dia")))</f>
        <v>em dia</v>
      </c>
      <c r="L2" s="13" t="s">
        <v>63</v>
      </c>
      <c r="M2" s="20" t="s">
        <v>96</v>
      </c>
      <c r="N2" s="21" t="s">
        <v>98</v>
      </c>
    </row>
    <row r="3" spans="1:16" ht="15" thickBot="1" x14ac:dyDescent="0.35">
      <c r="A3" s="4">
        <v>10142394</v>
      </c>
      <c r="B3" s="4" t="s">
        <v>10</v>
      </c>
      <c r="C3" s="4" t="s">
        <v>11</v>
      </c>
      <c r="D3" s="16">
        <v>580000</v>
      </c>
      <c r="E3" s="4" t="s">
        <v>94</v>
      </c>
      <c r="F3" s="4" t="s">
        <v>100</v>
      </c>
      <c r="G3" s="17"/>
      <c r="H3" s="4" t="s">
        <v>51</v>
      </c>
      <c r="I3" s="17" t="s">
        <v>47</v>
      </c>
      <c r="J3" s="18">
        <v>45930</v>
      </c>
      <c r="K3" s="19" t="str">
        <f t="shared" ca="1" si="0"/>
        <v>em dia</v>
      </c>
      <c r="L3" s="13" t="s">
        <v>63</v>
      </c>
      <c r="M3" s="20" t="s">
        <v>57</v>
      </c>
      <c r="N3" s="21" t="s">
        <v>97</v>
      </c>
    </row>
    <row r="4" spans="1:16" ht="43.8" thickBot="1" x14ac:dyDescent="0.35">
      <c r="A4" s="4">
        <v>10104075</v>
      </c>
      <c r="B4" s="4" t="s">
        <v>12</v>
      </c>
      <c r="C4" s="21" t="s">
        <v>13</v>
      </c>
      <c r="D4" s="16">
        <v>306000</v>
      </c>
      <c r="E4" s="4" t="s">
        <v>94</v>
      </c>
      <c r="F4" s="4" t="s">
        <v>101</v>
      </c>
      <c r="G4" s="17"/>
      <c r="H4" s="4" t="s">
        <v>51</v>
      </c>
      <c r="I4" s="17" t="s">
        <v>47</v>
      </c>
      <c r="J4" s="18"/>
      <c r="K4" s="19" t="str">
        <f t="shared" ca="1" si="0"/>
        <v/>
      </c>
      <c r="L4" s="13" t="s">
        <v>63</v>
      </c>
      <c r="M4" s="20" t="s">
        <v>49</v>
      </c>
      <c r="N4" s="21"/>
    </row>
    <row r="5" spans="1:16" ht="58.2" thickBot="1" x14ac:dyDescent="0.35">
      <c r="A5" s="4">
        <v>10217177</v>
      </c>
      <c r="B5" s="4" t="s">
        <v>14</v>
      </c>
      <c r="C5" s="4" t="s">
        <v>15</v>
      </c>
      <c r="D5" s="16">
        <v>997000</v>
      </c>
      <c r="E5" s="4" t="s">
        <v>94</v>
      </c>
      <c r="F5" s="4" t="s">
        <v>100</v>
      </c>
      <c r="G5" s="17"/>
      <c r="H5" s="4" t="s">
        <v>51</v>
      </c>
      <c r="I5" s="17" t="s">
        <v>47</v>
      </c>
      <c r="J5" s="18"/>
      <c r="K5" s="19" t="str">
        <f t="shared" ca="1" si="0"/>
        <v/>
      </c>
      <c r="L5" s="13" t="s">
        <v>63</v>
      </c>
      <c r="M5" s="20" t="s">
        <v>57</v>
      </c>
      <c r="N5" s="21" t="s">
        <v>50</v>
      </c>
    </row>
    <row r="6" spans="1:16" ht="15" thickBot="1" x14ac:dyDescent="0.35">
      <c r="A6" s="4">
        <v>10160647</v>
      </c>
      <c r="B6" s="4" t="s">
        <v>16</v>
      </c>
      <c r="C6" s="4" t="s">
        <v>17</v>
      </c>
      <c r="D6" s="16">
        <v>204000</v>
      </c>
      <c r="E6" s="4" t="s">
        <v>94</v>
      </c>
      <c r="F6" s="4" t="s">
        <v>100</v>
      </c>
      <c r="G6" s="17"/>
      <c r="H6" s="4" t="s">
        <v>51</v>
      </c>
      <c r="I6" s="17" t="s">
        <v>47</v>
      </c>
      <c r="J6" s="18"/>
      <c r="K6" s="19" t="str">
        <f t="shared" ca="1" si="0"/>
        <v/>
      </c>
      <c r="L6" s="13" t="s">
        <v>63</v>
      </c>
      <c r="M6" s="20" t="s">
        <v>57</v>
      </c>
      <c r="N6" s="21"/>
    </row>
    <row r="7" spans="1:16" ht="15" thickBot="1" x14ac:dyDescent="0.35">
      <c r="A7" s="4">
        <v>10175248</v>
      </c>
      <c r="B7" s="4" t="s">
        <v>18</v>
      </c>
      <c r="C7" s="4" t="s">
        <v>19</v>
      </c>
      <c r="D7" s="16">
        <v>360000</v>
      </c>
      <c r="E7" s="4" t="s">
        <v>94</v>
      </c>
      <c r="F7" s="4" t="s">
        <v>101</v>
      </c>
      <c r="G7" s="17"/>
      <c r="H7" s="4" t="s">
        <v>51</v>
      </c>
      <c r="I7" s="17" t="s">
        <v>47</v>
      </c>
      <c r="J7" s="18"/>
      <c r="K7" s="19" t="str">
        <f t="shared" ca="1" si="0"/>
        <v/>
      </c>
      <c r="L7" s="13" t="s">
        <v>63</v>
      </c>
      <c r="M7" s="20" t="s">
        <v>57</v>
      </c>
      <c r="N7" s="21"/>
    </row>
    <row r="8" spans="1:16" ht="43.8" thickBot="1" x14ac:dyDescent="0.35">
      <c r="A8" s="4">
        <v>10145389</v>
      </c>
      <c r="B8" s="4" t="s">
        <v>20</v>
      </c>
      <c r="C8" s="4" t="s">
        <v>21</v>
      </c>
      <c r="D8" s="16">
        <v>75000</v>
      </c>
      <c r="E8" s="4" t="s">
        <v>94</v>
      </c>
      <c r="F8" s="4" t="s">
        <v>100</v>
      </c>
      <c r="G8" s="17"/>
      <c r="H8" s="4" t="s">
        <v>40</v>
      </c>
      <c r="I8" s="17" t="s">
        <v>47</v>
      </c>
      <c r="J8" s="18"/>
      <c r="K8" s="19" t="str">
        <f t="shared" ca="1" si="0"/>
        <v/>
      </c>
      <c r="L8" s="13" t="s">
        <v>63</v>
      </c>
      <c r="M8" s="20" t="s">
        <v>42</v>
      </c>
      <c r="N8" s="21" t="s">
        <v>41</v>
      </c>
    </row>
    <row r="9" spans="1:16" ht="58.2" thickBot="1" x14ac:dyDescent="0.35">
      <c r="A9" s="4">
        <v>10101307</v>
      </c>
      <c r="B9" s="4" t="s">
        <v>54</v>
      </c>
      <c r="C9" s="4" t="s">
        <v>55</v>
      </c>
      <c r="D9" s="16">
        <v>150000</v>
      </c>
      <c r="E9" s="4" t="s">
        <v>94</v>
      </c>
      <c r="F9" s="4" t="s">
        <v>102</v>
      </c>
      <c r="G9" s="17"/>
      <c r="H9" s="4" t="s">
        <v>40</v>
      </c>
      <c r="I9" s="17" t="s">
        <v>47</v>
      </c>
      <c r="J9" s="18"/>
      <c r="K9" s="19" t="str">
        <f t="shared" ca="1" si="0"/>
        <v/>
      </c>
      <c r="L9" s="13" t="s">
        <v>63</v>
      </c>
      <c r="M9" s="20" t="s">
        <v>57</v>
      </c>
      <c r="N9" s="21" t="s">
        <v>56</v>
      </c>
    </row>
    <row r="10" spans="1:16" ht="101.4" thickBot="1" x14ac:dyDescent="0.35">
      <c r="A10" s="4">
        <v>5726265</v>
      </c>
      <c r="B10" s="4" t="s">
        <v>22</v>
      </c>
      <c r="C10" s="4" t="s">
        <v>23</v>
      </c>
      <c r="D10" s="16">
        <v>640000</v>
      </c>
      <c r="E10" s="4" t="s">
        <v>94</v>
      </c>
      <c r="F10" s="4" t="s">
        <v>35</v>
      </c>
      <c r="G10" s="17"/>
      <c r="H10" s="4" t="s">
        <v>51</v>
      </c>
      <c r="I10" s="17" t="s">
        <v>47</v>
      </c>
      <c r="J10" s="18"/>
      <c r="K10" s="19" t="str">
        <f t="shared" ca="1" si="0"/>
        <v/>
      </c>
      <c r="L10" s="13" t="s">
        <v>63</v>
      </c>
      <c r="M10" s="20" t="s">
        <v>57</v>
      </c>
      <c r="N10" s="21" t="s">
        <v>43</v>
      </c>
    </row>
    <row r="11" spans="1:16" ht="15" thickBot="1" x14ac:dyDescent="0.35">
      <c r="A11" s="4">
        <v>10251202</v>
      </c>
      <c r="B11" s="4" t="s">
        <v>24</v>
      </c>
      <c r="C11" s="4" t="s">
        <v>25</v>
      </c>
      <c r="D11" s="16">
        <v>200000</v>
      </c>
      <c r="E11" s="4" t="s">
        <v>94</v>
      </c>
      <c r="F11" s="4" t="s">
        <v>100</v>
      </c>
      <c r="G11" s="17"/>
      <c r="H11" s="4" t="s">
        <v>53</v>
      </c>
      <c r="I11" s="17" t="s">
        <v>47</v>
      </c>
      <c r="J11" s="18"/>
      <c r="K11" s="19" t="str">
        <f t="shared" ca="1" si="0"/>
        <v/>
      </c>
      <c r="L11" s="13" t="s">
        <v>63</v>
      </c>
      <c r="M11" s="20"/>
      <c r="N11" s="21" t="s">
        <v>44</v>
      </c>
    </row>
    <row r="12" spans="1:16" ht="43.8" thickBot="1" x14ac:dyDescent="0.35">
      <c r="A12" s="4">
        <v>10197896</v>
      </c>
      <c r="B12" s="4" t="s">
        <v>26</v>
      </c>
      <c r="C12" s="4" t="s">
        <v>25</v>
      </c>
      <c r="D12" s="16">
        <v>2500000</v>
      </c>
      <c r="E12" s="4" t="s">
        <v>94</v>
      </c>
      <c r="F12" s="4" t="s">
        <v>103</v>
      </c>
      <c r="G12" s="17"/>
      <c r="H12" s="4" t="s">
        <v>53</v>
      </c>
      <c r="I12" s="17" t="s">
        <v>47</v>
      </c>
      <c r="J12" s="18"/>
      <c r="K12" s="19" t="str">
        <f t="shared" ca="1" si="0"/>
        <v/>
      </c>
      <c r="L12" s="13" t="s">
        <v>63</v>
      </c>
      <c r="M12" s="20" t="s">
        <v>45</v>
      </c>
      <c r="N12" s="21" t="s">
        <v>99</v>
      </c>
    </row>
    <row r="13" spans="1:16" ht="15" thickBot="1" x14ac:dyDescent="0.35">
      <c r="A13" s="4">
        <v>10177554</v>
      </c>
      <c r="B13" s="4" t="s">
        <v>34</v>
      </c>
      <c r="C13" s="4" t="s">
        <v>2</v>
      </c>
      <c r="D13" s="16">
        <v>1980000</v>
      </c>
      <c r="E13" s="4" t="s">
        <v>104</v>
      </c>
      <c r="F13" s="4" t="s">
        <v>101</v>
      </c>
      <c r="G13" s="17">
        <v>6600</v>
      </c>
      <c r="H13" s="4" t="s">
        <v>51</v>
      </c>
      <c r="I13" s="17" t="s">
        <v>39</v>
      </c>
      <c r="J13" s="18"/>
      <c r="K13" s="19" t="str">
        <f t="shared" ca="1" si="0"/>
        <v/>
      </c>
      <c r="L13" s="13" t="s">
        <v>63</v>
      </c>
      <c r="M13" s="20" t="s">
        <v>57</v>
      </c>
      <c r="N13" s="21"/>
    </row>
    <row r="14" spans="1:16" ht="15" thickBot="1" x14ac:dyDescent="0.35">
      <c r="A14" s="4">
        <v>10177572</v>
      </c>
      <c r="B14" s="4" t="s">
        <v>32</v>
      </c>
      <c r="C14" s="4" t="s">
        <v>3</v>
      </c>
      <c r="D14" s="16">
        <v>836400</v>
      </c>
      <c r="E14" s="4" t="s">
        <v>95</v>
      </c>
      <c r="F14" s="4" t="s">
        <v>101</v>
      </c>
      <c r="G14" s="17">
        <v>2788</v>
      </c>
      <c r="H14" s="4" t="s">
        <v>51</v>
      </c>
      <c r="I14" s="17" t="s">
        <v>39</v>
      </c>
      <c r="J14" s="18"/>
      <c r="K14" s="19" t="str">
        <f t="shared" ca="1" si="0"/>
        <v/>
      </c>
      <c r="L14" s="13" t="s">
        <v>63</v>
      </c>
      <c r="M14" s="20" t="s">
        <v>57</v>
      </c>
      <c r="N14" s="21"/>
    </row>
    <row r="15" spans="1:16" ht="15" thickBot="1" x14ac:dyDescent="0.35">
      <c r="A15" s="4">
        <v>5868161</v>
      </c>
      <c r="B15" s="4" t="s">
        <v>30</v>
      </c>
      <c r="C15" s="4" t="s">
        <v>31</v>
      </c>
      <c r="D15" s="16">
        <v>2379000</v>
      </c>
      <c r="E15" s="4" t="s">
        <v>95</v>
      </c>
      <c r="F15" s="4" t="s">
        <v>101</v>
      </c>
      <c r="G15" s="17">
        <v>7930</v>
      </c>
      <c r="H15" s="4" t="s">
        <v>51</v>
      </c>
      <c r="I15" s="17" t="s">
        <v>39</v>
      </c>
      <c r="J15" s="18"/>
      <c r="K15" s="19" t="str">
        <f t="shared" ca="1" si="0"/>
        <v/>
      </c>
      <c r="L15" s="13" t="s">
        <v>63</v>
      </c>
      <c r="M15" s="20" t="s">
        <v>57</v>
      </c>
      <c r="N15" s="21"/>
    </row>
    <row r="16" spans="1:16" ht="15" thickBot="1" x14ac:dyDescent="0.35">
      <c r="A16" s="4">
        <v>101010226</v>
      </c>
      <c r="B16" s="4" t="s">
        <v>33</v>
      </c>
      <c r="C16" s="4" t="s">
        <v>4</v>
      </c>
      <c r="D16" s="16">
        <v>4071600</v>
      </c>
      <c r="E16" s="4" t="s">
        <v>95</v>
      </c>
      <c r="F16" s="4" t="s">
        <v>101</v>
      </c>
      <c r="G16" s="17">
        <v>13572</v>
      </c>
      <c r="H16" s="4" t="s">
        <v>51</v>
      </c>
      <c r="I16" s="17" t="s">
        <v>39</v>
      </c>
      <c r="J16" s="18"/>
      <c r="K16" s="19" t="str">
        <f t="shared" ca="1" si="0"/>
        <v/>
      </c>
      <c r="L16" s="13" t="s">
        <v>63</v>
      </c>
      <c r="M16" s="20" t="s">
        <v>57</v>
      </c>
      <c r="N16" s="21"/>
    </row>
    <row r="17" spans="1:14" ht="43.8" thickBot="1" x14ac:dyDescent="0.35">
      <c r="A17" s="4" t="s">
        <v>48</v>
      </c>
      <c r="B17" s="4" t="s">
        <v>62</v>
      </c>
      <c r="C17" s="4" t="s">
        <v>37</v>
      </c>
      <c r="D17" s="16">
        <v>295000</v>
      </c>
      <c r="E17" s="4" t="s">
        <v>94</v>
      </c>
      <c r="F17" s="4" t="s">
        <v>101</v>
      </c>
      <c r="G17" s="17"/>
      <c r="H17" s="4" t="s">
        <v>52</v>
      </c>
      <c r="I17" s="17" t="s">
        <v>47</v>
      </c>
      <c r="J17" s="18"/>
      <c r="K17" s="17" t="str">
        <f t="shared" ca="1" si="0"/>
        <v/>
      </c>
      <c r="L17" s="13" t="s">
        <v>63</v>
      </c>
      <c r="M17" s="20" t="s">
        <v>38</v>
      </c>
      <c r="N17" s="21"/>
    </row>
  </sheetData>
  <conditionalFormatting sqref="L2:L500">
    <cfRule type="expression" dxfId="2" priority="2" stopIfTrue="1">
      <formula>K2="em dia"</formula>
    </cfRule>
    <cfRule type="expression" dxfId="1" priority="3" stopIfTrue="1">
      <formula>K2="atrasado"</formula>
    </cfRule>
    <cfRule type="expression" dxfId="0" priority="4" stopIfTrue="1">
      <formula>K2="atenção"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23D6-6FEB-4B06-B51D-718FF82DB252}">
  <dimension ref="A1"/>
  <sheetViews>
    <sheetView workbookViewId="0">
      <selection activeCell="P22" sqref="P2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46CB7A9A356A40B4D4093F195738B8" ma:contentTypeVersion="18" ma:contentTypeDescription="Criar um novo documento." ma:contentTypeScope="" ma:versionID="4109b40f7440a4c4d5a82a38f01d20bd">
  <xsd:schema xmlns:xsd="http://www.w3.org/2001/XMLSchema" xmlns:xs="http://www.w3.org/2001/XMLSchema" xmlns:p="http://schemas.microsoft.com/office/2006/metadata/properties" xmlns:ns2="afe616d5-05b8-42be-88fe-b51e907e17e9" xmlns:ns3="b144ca7e-c4c1-4341-89fa-3646ecb6f902" xmlns:ns4="50c908b1-f277-4340-90a9-4611d0b0f078" targetNamespace="http://schemas.microsoft.com/office/2006/metadata/properties" ma:root="true" ma:fieldsID="ff57f43425b17503c26d534d57b450b8" ns2:_="" ns3:_="" ns4:_="">
    <xsd:import namespace="afe616d5-05b8-42be-88fe-b51e907e17e9"/>
    <xsd:import namespace="b144ca7e-c4c1-4341-89fa-3646ecb6f902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616d5-05b8-42be-88fe-b51e907e1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4ca7e-c4c1-4341-89fa-3646ecb6f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f59f31a-49e0-4ba4-83e0-e1b83f8539b2}" ma:internalName="TaxCatchAll" ma:showField="CatchAllData" ma:web="b144ca7e-c4c1-4341-89fa-3646ecb6f9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afe616d5-05b8-42be-88fe-b51e907e17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EB6EE5-4FB9-40B1-BAB7-6EBBEAF760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D6AC56-25A9-4664-AD70-CD5535974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e616d5-05b8-42be-88fe-b51e907e17e9"/>
    <ds:schemaRef ds:uri="b144ca7e-c4c1-4341-89fa-3646ecb6f902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EE7EF-0473-4E92-8488-0633930A8537}">
  <ds:schemaRefs>
    <ds:schemaRef ds:uri="http://schemas.microsoft.com/office/2006/metadata/properties"/>
    <ds:schemaRef ds:uri="http://schemas.microsoft.com/office/infopath/2007/PartnerControls"/>
    <ds:schemaRef ds:uri="50c908b1-f277-4340-90a9-4611d0b0f078"/>
    <ds:schemaRef ds:uri="afe616d5-05b8-42be-88fe-b51e907e17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Engagements</vt:lpstr>
      <vt:lpstr>Oportunidades</vt:lpstr>
      <vt:lpstr>TER x TNR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Sao-Pedro</dc:creator>
  <cp:lastModifiedBy>Alexandre Juca de Paiva</cp:lastModifiedBy>
  <dcterms:created xsi:type="dcterms:W3CDTF">2015-06-05T18:17:20Z</dcterms:created>
  <dcterms:modified xsi:type="dcterms:W3CDTF">2025-10-01T18:31:10Z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0x010100E146CB7A9A356A40B4D4093F195738B8</vt:lpwstr>
  </property>
  <property fmtid="{D5CDD505-2E9C-101B-9397-08002B2CF9AE}" pid="3" name="MediaServiceImageTags">
    <vt:lpwstr/>
  </property>
</Properties>
</file>